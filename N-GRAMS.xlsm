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\\fserv\Управленческий учет\98 Прочее\Черкашин\!Работа\!ВПРнечеткий\"/>
    </mc:Choice>
  </mc:AlternateContent>
  <bookViews>
    <workbookView xWindow="0" yWindow="5490" windowWidth="28635" windowHeight="11925" activeTab="1"/>
  </bookViews>
  <sheets>
    <sheet name="ENG" sheetId="7" r:id="rId1"/>
    <sheet name="RUS" sheetId="8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8" l="1"/>
  <c r="B28" i="8"/>
  <c r="D28" i="8"/>
  <c r="D17" i="8"/>
  <c r="B28" i="7"/>
  <c r="B16" i="7"/>
  <c r="B4" i="7"/>
  <c r="D16" i="7"/>
  <c r="D4" i="7"/>
  <c r="D28" i="7" s="1"/>
  <c r="D4" i="8"/>
  <c r="B4" i="8"/>
</calcChain>
</file>

<file path=xl/sharedStrings.xml><?xml version="1.0" encoding="utf-8"?>
<sst xmlns="http://schemas.openxmlformats.org/spreadsheetml/2006/main" count="68" uniqueCount="44">
  <si>
    <t>аммиачная селитра</t>
  </si>
  <si>
    <t>амселитра</t>
  </si>
  <si>
    <t>калиевая селитра</t>
  </si>
  <si>
    <t>селитра аммиачная</t>
  </si>
  <si>
    <t>FAST</t>
  </si>
  <si>
    <t>EXAMPLE</t>
  </si>
  <si>
    <t>Searching:</t>
  </si>
  <si>
    <t>In this range:</t>
  </si>
  <si>
    <t>Result:</t>
  </si>
  <si>
    <t>БЫСТРЫЙ</t>
  </si>
  <si>
    <t>ПРИМЕР</t>
  </si>
  <si>
    <t>Ищем:</t>
  </si>
  <si>
    <t>В этом диапазоне:</t>
  </si>
  <si>
    <t>Результат:</t>
  </si>
  <si>
    <t>Так же может пригодиться внутрення формула =TextSimilarityFast(s1, s2 [, N]), где:</t>
  </si>
  <si>
    <t>s1 - первая строка (может быть ссылкой на ячейку)</t>
  </si>
  <si>
    <t>s1 - вторая строка (может быть ссылкой на ячейку)</t>
  </si>
  <si>
    <t>N - необязательный параметр - размер N-Gramm'ы в символах (по умолчанию равен 2)</t>
  </si>
  <si>
    <t>Формула выдает значение "похожести" s1 и s2 в диапазоне [0,1]</t>
  </si>
  <si>
    <r>
      <t xml:space="preserve">Так же может пригодиться внутрення формула =TextSimilarity(s1, s2, </t>
    </r>
    <r>
      <rPr>
        <b/>
        <sz val="11"/>
        <color theme="1"/>
        <rFont val="Calibri"/>
        <family val="2"/>
        <charset val="204"/>
      </rPr>
      <t>vSpaceRng</t>
    </r>
    <r>
      <rPr>
        <sz val="11"/>
        <color theme="1"/>
        <rFont val="Calibri"/>
        <family val="2"/>
        <charset val="204"/>
        <scheme val="minor"/>
      </rPr>
      <t xml:space="preserve"> [, N]), где:</t>
    </r>
  </si>
  <si>
    <t>s1 - первая строка (должна быть ссылкой на ячейку)</t>
  </si>
  <si>
    <t>s1 - вторая строка (должна быть ссылкой на ячейку)</t>
  </si>
  <si>
    <r>
      <rPr>
        <b/>
        <sz val="9"/>
        <color theme="1"/>
        <rFont val="Calibri"/>
        <family val="2"/>
        <charset val="204"/>
      </rPr>
      <t>vSpaceRng</t>
    </r>
    <r>
      <rPr>
        <sz val="9"/>
        <color theme="1"/>
        <rFont val="Calibri"/>
        <family val="2"/>
        <charset val="204"/>
        <scheme val="minor"/>
      </rPr>
      <t xml:space="preserve"> - ссылка на диапазон ячеек на основе текста который будет стоится векторное пространство N-GRAM</t>
    </r>
  </si>
  <si>
    <t>(s1 и s2 будут включены в это пространство автоматически, если некуда ссылаться - приравняй к s2)</t>
  </si>
  <si>
    <r>
      <t>МЕДЛЕННЫЙ</t>
    </r>
    <r>
      <rPr>
        <sz val="11"/>
        <color theme="1"/>
        <rFont val="Calibri"/>
        <family val="2"/>
        <charset val="204"/>
      </rPr>
      <t xml:space="preserve"> (но лучше работает)</t>
    </r>
  </si>
  <si>
    <r>
      <t xml:space="preserve">SLOW </t>
    </r>
    <r>
      <rPr>
        <sz val="11"/>
        <color theme="1"/>
        <rFont val="Calibri"/>
        <family val="2"/>
        <charset val="204"/>
      </rPr>
      <t>(but better)</t>
    </r>
  </si>
  <si>
    <t>=ВПР_NGRAM_быстрый_помощь():</t>
  </si>
  <si>
    <t>=ВПР_NGRAM_быстрый(B8;B11:B13)</t>
  </si>
  <si>
    <t>Пример:</t>
  </si>
  <si>
    <t>=ВПР_NGRAM_помощь():</t>
  </si>
  <si>
    <t>=VLOOKUP_NGRAM_help():</t>
  </si>
  <si>
    <t>=VLOOKUP_NGRAM_fast_help():</t>
  </si>
  <si>
    <t>There is also =TextSimilarityFast(s1, s2 [, N]) formula, where:</t>
  </si>
  <si>
    <t>s1 - fisrt string (could be cell reference)</t>
  </si>
  <si>
    <t>s1 - second string (could be cell reference)</t>
  </si>
  <si>
    <t>N - optional parameter -р N-Gramm size in symbols (default = 2)</t>
  </si>
  <si>
    <t>Example:</t>
  </si>
  <si>
    <t>Outputs the "similarity" of s1 and s2 in [0,1] range</t>
  </si>
  <si>
    <r>
      <t xml:space="preserve">There is also =TextSimilarity(s1, s2, </t>
    </r>
    <r>
      <rPr>
        <b/>
        <sz val="11"/>
        <color theme="1"/>
        <rFont val="Calibri"/>
        <family val="2"/>
        <charset val="204"/>
      </rPr>
      <t>vSpaceRng</t>
    </r>
    <r>
      <rPr>
        <sz val="11"/>
        <color theme="1"/>
        <rFont val="Calibri"/>
        <family val="2"/>
        <charset val="204"/>
        <scheme val="minor"/>
      </rPr>
      <t xml:space="preserve"> [, N]), where:</t>
    </r>
  </si>
  <si>
    <t>s1 - fisrt string should be cell reference)</t>
  </si>
  <si>
    <t>s1 - second string (should be cell reference)</t>
  </si>
  <si>
    <r>
      <rPr>
        <b/>
        <sz val="9"/>
        <color theme="1"/>
        <rFont val="Calibri"/>
        <family val="2"/>
        <charset val="204"/>
      </rPr>
      <t>vSpaceRng</t>
    </r>
    <r>
      <rPr>
        <sz val="9"/>
        <color theme="1"/>
        <rFont val="Calibri"/>
        <family val="2"/>
        <charset val="204"/>
        <scheme val="minor"/>
      </rPr>
      <t xml:space="preserve"> - range with some text for building N-GRAM vector space</t>
    </r>
  </si>
  <si>
    <t>(s1 and s2 would be auto included in this space , if where is no additional text you whant to use just reference to s2 cell)</t>
  </si>
  <si>
    <t>=ВПР_NGRAM(D8;D11:D13)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</si>
</sst>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0" formatCode="0.0000"/>
  </numFmts>
  <fonts count="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</font>
    <font>
      <b/>
      <sz val="9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0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wrapText="1"/>
    </xf>
    <xf numFmtId="0" fontId="0" fillId="0" borderId="0" xfId="0" quotePrefix="1"/>
    <xf numFmtId="0" fontId="1" fillId="0" borderId="0" xfId="0" quotePrefix="1" applyFont="1"/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0" fillId="0" borderId="0" xfId="0" applyFont="1"/>
    <xf numFmtId="0" fontId="2" fillId="0" borderId="0" xfId="0" applyFont="1"/>
    <xf numFmtId="0" fontId="1" fillId="0" borderId="6" xfId="0" applyFont="1" applyBorder="1"/>
    <xf numFmtId="0" fontId="6" fillId="0" borderId="0" xfId="0" applyFont="1" applyAlignment="1">
      <alignment wrapText="1"/>
    </xf>
    <xf numFmtId="170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2:D28"/>
  <sheetViews>
    <sheetView showGridLines="0" workbookViewId="0">
      <selection activeCell="B4" sqref="B4"/>
    </sheetView>
  </sheetViews>
  <sheetFormatPr defaultRowHeight="15" x14ac:dyDescent="0.25"/>
  <cols>
    <col min="2" max="2" width="83.28515625" customWidth="1"/>
    <col min="4" max="4" width="88.28515625" customWidth="1"/>
  </cols>
  <sheetData>
    <row r="2" spans="2:4" x14ac:dyDescent="0.25">
      <c r="B2" s="13" t="s">
        <v>4</v>
      </c>
      <c r="C2" s="10"/>
      <c r="D2" s="13" t="s">
        <v>25</v>
      </c>
    </row>
    <row r="3" spans="2:4" ht="14.25" customHeight="1" x14ac:dyDescent="0.25">
      <c r="B3" s="3" t="s">
        <v>31</v>
      </c>
      <c r="D3" s="3" t="s">
        <v>30</v>
      </c>
    </row>
    <row r="4" spans="2:4" ht="125.25" customHeight="1" x14ac:dyDescent="0.25">
      <c r="B4" s="14" t="str">
        <f>VLOOKUP_NGRAM_fast_help()</f>
        <v>Hit Wrap Text on Home tab for better view. 
The VLOOKUP_NGRAM_fast function was designed to be like VLOOKUP but to return similar values if there is no exact match. Using FAST but not so good N-GRAM method.
Parameters:
  s1 as String   :   Specifies the String to search for (could be cell reference). 
  rng as Range   :   Specifies the range (column) where to search and to return values from. 
Example : "=VLOOKUP_NGRAM_fast(A1,B1:B10)"
WARNING! It will always return something. No NA errors! Сontact amchercashin@gmail.com for more information.</v>
      </c>
      <c r="D4" s="14" t="str">
        <f>VLOOKUP_NGRAM_help()</f>
        <v>Hit Wrap Text on Home tab for better view. 
The VLOOKUP_NGRAM function was designed to be like VLOOKUP but to return similar values if there is no exact match. Using SLOW but good (cosine similarity) N-GRAM method.
Parameters:
  s1 as Range    :   Specifies the String to search for (should be cell reference). 
  rng as Range   :   Specifies the range (column) where to search and to return values from. 
Example : "=VLOOKUP_NGRAM(A1,B1:B10)"
WARNING! It will always return something. No NA errors! Сontact amchercashin@gmail.com for more information.</v>
      </c>
    </row>
    <row r="6" spans="2:4" x14ac:dyDescent="0.25">
      <c r="B6" s="4" t="s">
        <v>5</v>
      </c>
      <c r="D6" s="4" t="s">
        <v>5</v>
      </c>
    </row>
    <row r="7" spans="2:4" x14ac:dyDescent="0.25">
      <c r="B7" t="s">
        <v>6</v>
      </c>
      <c r="D7" t="s">
        <v>6</v>
      </c>
    </row>
    <row r="8" spans="2:4" x14ac:dyDescent="0.25">
      <c r="B8" s="5" t="s">
        <v>0</v>
      </c>
      <c r="D8" s="5" t="s">
        <v>0</v>
      </c>
    </row>
    <row r="9" spans="2:4" x14ac:dyDescent="0.25">
      <c r="B9" s="1"/>
      <c r="D9" s="1"/>
    </row>
    <row r="10" spans="2:4" x14ac:dyDescent="0.25">
      <c r="B10" t="s">
        <v>7</v>
      </c>
      <c r="D10" t="s">
        <v>7</v>
      </c>
    </row>
    <row r="11" spans="2:4" x14ac:dyDescent="0.25">
      <c r="B11" s="6" t="s">
        <v>3</v>
      </c>
      <c r="D11" s="6"/>
    </row>
    <row r="12" spans="2:4" x14ac:dyDescent="0.25">
      <c r="B12" s="7" t="s">
        <v>2</v>
      </c>
      <c r="D12" s="7" t="s">
        <v>2</v>
      </c>
    </row>
    <row r="13" spans="2:4" x14ac:dyDescent="0.25">
      <c r="B13" s="8" t="s">
        <v>1</v>
      </c>
      <c r="D13" s="8" t="s">
        <v>1</v>
      </c>
    </row>
    <row r="15" spans="2:4" ht="15.75" thickBot="1" x14ac:dyDescent="0.3">
      <c r="B15" t="s">
        <v>8</v>
      </c>
      <c r="D15" t="s">
        <v>8</v>
      </c>
    </row>
    <row r="16" spans="2:4" ht="15.75" thickBot="1" x14ac:dyDescent="0.3">
      <c r="B16" s="9" t="str">
        <f>VLOOKUP_NGRAM_fast(B8,B11:B13)</f>
        <v>селитра аммиачная</v>
      </c>
      <c r="D16" s="9" t="str">
        <f>VLOOKUP_NGRAM(D8,D11:D13)</f>
        <v>амселитра</v>
      </c>
    </row>
    <row r="19" spans="2:4" x14ac:dyDescent="0.25">
      <c r="B19" s="10"/>
      <c r="C19" s="10"/>
      <c r="D19" s="10"/>
    </row>
    <row r="20" spans="2:4" x14ac:dyDescent="0.25">
      <c r="B20" t="s">
        <v>32</v>
      </c>
      <c r="D20" t="s">
        <v>38</v>
      </c>
    </row>
    <row r="21" spans="2:4" x14ac:dyDescent="0.25">
      <c r="B21" s="12" t="s">
        <v>33</v>
      </c>
      <c r="D21" s="12" t="s">
        <v>39</v>
      </c>
    </row>
    <row r="22" spans="2:4" x14ac:dyDescent="0.25">
      <c r="B22" s="12" t="s">
        <v>34</v>
      </c>
      <c r="D22" s="12" t="s">
        <v>40</v>
      </c>
    </row>
    <row r="23" spans="2:4" x14ac:dyDescent="0.25">
      <c r="B23" s="12" t="s">
        <v>35</v>
      </c>
      <c r="D23" s="12" t="s">
        <v>41</v>
      </c>
    </row>
    <row r="24" spans="2:4" x14ac:dyDescent="0.25">
      <c r="B24" s="11" t="s">
        <v>37</v>
      </c>
      <c r="D24" s="12" t="s">
        <v>42</v>
      </c>
    </row>
    <row r="25" spans="2:4" x14ac:dyDescent="0.25">
      <c r="D25" s="12" t="s">
        <v>35</v>
      </c>
    </row>
    <row r="26" spans="2:4" x14ac:dyDescent="0.25">
      <c r="D26" s="11" t="s">
        <v>37</v>
      </c>
    </row>
    <row r="27" spans="2:4" x14ac:dyDescent="0.25">
      <c r="B27" s="12" t="s">
        <v>36</v>
      </c>
      <c r="D27" s="12" t="s">
        <v>36</v>
      </c>
    </row>
    <row r="28" spans="2:4" x14ac:dyDescent="0.25">
      <c r="B28" s="15">
        <f>TextSimilarityFast(B20,D20)</f>
        <v>0.79032258064516125</v>
      </c>
      <c r="D28" s="15">
        <f>TextSimilarity(B20,D20,B2:D27)</f>
        <v>0.8184035683945533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2:D28"/>
  <sheetViews>
    <sheetView showGridLines="0" tabSelected="1" workbookViewId="0"/>
  </sheetViews>
  <sheetFormatPr defaultRowHeight="15" x14ac:dyDescent="0.25"/>
  <cols>
    <col min="2" max="2" width="83.28515625" customWidth="1"/>
    <col min="4" max="4" width="88.28515625" customWidth="1"/>
  </cols>
  <sheetData>
    <row r="2" spans="2:4" x14ac:dyDescent="0.25">
      <c r="B2" s="13" t="s">
        <v>9</v>
      </c>
      <c r="D2" s="13" t="s">
        <v>24</v>
      </c>
    </row>
    <row r="3" spans="2:4" ht="14.25" customHeight="1" x14ac:dyDescent="0.25">
      <c r="B3" s="3" t="s">
        <v>26</v>
      </c>
      <c r="D3" s="3" t="s">
        <v>29</v>
      </c>
    </row>
    <row r="4" spans="2:4" ht="122.25" customHeight="1" x14ac:dyDescent="0.25">
      <c r="B4" s="14" t="str">
        <f>ВПР_NGRAM_быстрый_помощь()</f>
        <v>Нажмите "Переносить текст" на вкладке Главная, что бы было лучше видно. 
Формула ВПР_NGRAM_быстрый работает как ВПР, только возвращает похожие значения, если нет точного совпадения. Используется БЫСТРЫЙ, но не самый хороший N-GRAM метод.
Параметры:
  s1 as String   :   Искомая строка (может быть ссылкой на ячейку). 
  rng as Range   :   Столбец - область поиска, из него возвращается найденное значение .
Пример : "=ВПР_NGRAM_быстрый(A1;B1:B10)"
ВНИМАНИЕ! Формула всегда возвращает какое-то значение. Ошибок Н/Д не будет! Пишите на amchercashin@gmail.com если есть вопросы.</v>
      </c>
      <c r="D4" s="14" t="str">
        <f>ВПР_NGRAM_помощь()</f>
        <v>Нажмите "Переносить текст" на вкладке Главная, что бы было лучше видно. 
Формула ВПР_NGRAM работает как ВПР, только возвращает похожие значения, если нет точного совпадения. Используется МЕДЛЕННЫЙ, но хороший (cosine similarity) N-GRAM метод.
Параметры:
  s1 as Range    :   Искомая строка (должна быть ссылкой на ячейку). 
  rng as Range   :   Столбец - область поиска, из него возвращается найденное значение .
Пример : "=ВПР_NGRAM(A1;B1:B10)"
ВНИМАНИЕ! Формула всегда возвращает какое-то значение. Ошибок Н/Д не будет! Пишите на amchercashin@gmail.com если есть вопросы.</v>
      </c>
    </row>
    <row r="5" spans="2:4" ht="21" customHeight="1" x14ac:dyDescent="0.25"/>
    <row r="6" spans="2:4" x14ac:dyDescent="0.25">
      <c r="B6" s="4" t="s">
        <v>10</v>
      </c>
      <c r="D6" s="4" t="s">
        <v>10</v>
      </c>
    </row>
    <row r="7" spans="2:4" x14ac:dyDescent="0.25">
      <c r="B7" t="s">
        <v>11</v>
      </c>
      <c r="D7" t="s">
        <v>11</v>
      </c>
    </row>
    <row r="8" spans="2:4" x14ac:dyDescent="0.25">
      <c r="B8" s="5" t="s">
        <v>0</v>
      </c>
      <c r="D8" s="5" t="s">
        <v>0</v>
      </c>
    </row>
    <row r="9" spans="2:4" x14ac:dyDescent="0.25">
      <c r="B9" s="1"/>
      <c r="D9" s="1"/>
    </row>
    <row r="10" spans="2:4" x14ac:dyDescent="0.25">
      <c r="B10" t="s">
        <v>12</v>
      </c>
      <c r="D10" t="s">
        <v>12</v>
      </c>
    </row>
    <row r="11" spans="2:4" x14ac:dyDescent="0.25">
      <c r="B11" s="6" t="s">
        <v>3</v>
      </c>
      <c r="D11" s="6"/>
    </row>
    <row r="12" spans="2:4" x14ac:dyDescent="0.25">
      <c r="B12" s="7" t="s">
        <v>2</v>
      </c>
      <c r="D12" s="7" t="s">
        <v>2</v>
      </c>
    </row>
    <row r="13" spans="2:4" x14ac:dyDescent="0.25">
      <c r="B13" s="8" t="s">
        <v>1</v>
      </c>
      <c r="D13" s="8" t="s">
        <v>1</v>
      </c>
    </row>
    <row r="15" spans="2:4" x14ac:dyDescent="0.25">
      <c r="B15" t="s">
        <v>13</v>
      </c>
      <c r="D15" t="s">
        <v>13</v>
      </c>
    </row>
    <row r="16" spans="2:4" ht="15.75" thickBot="1" x14ac:dyDescent="0.3">
      <c r="B16" s="2" t="s">
        <v>27</v>
      </c>
      <c r="D16" s="2" t="s">
        <v>43</v>
      </c>
    </row>
    <row r="17" spans="2:4" ht="15.75" thickBot="1" x14ac:dyDescent="0.3">
      <c r="B17" s="9" t="str">
        <f>ВПР_NGRAM_быстрый(B8,B11:B13)</f>
        <v>селитра аммиачная</v>
      </c>
      <c r="D17" s="9" t="str">
        <f>ВПР_NGRAM(D8,D11:D13)</f>
        <v>амселитра</v>
      </c>
    </row>
    <row r="19" spans="2:4" x14ac:dyDescent="0.25">
      <c r="B19" s="10"/>
      <c r="D19" s="10"/>
    </row>
    <row r="20" spans="2:4" x14ac:dyDescent="0.25">
      <c r="B20" t="s">
        <v>14</v>
      </c>
      <c r="D20" t="s">
        <v>19</v>
      </c>
    </row>
    <row r="21" spans="2:4" x14ac:dyDescent="0.25">
      <c r="B21" s="12" t="s">
        <v>15</v>
      </c>
      <c r="D21" s="12" t="s">
        <v>20</v>
      </c>
    </row>
    <row r="22" spans="2:4" x14ac:dyDescent="0.25">
      <c r="B22" s="12" t="s">
        <v>16</v>
      </c>
      <c r="D22" s="12" t="s">
        <v>21</v>
      </c>
    </row>
    <row r="23" spans="2:4" x14ac:dyDescent="0.25">
      <c r="B23" s="12" t="s">
        <v>17</v>
      </c>
      <c r="D23" s="12" t="s">
        <v>22</v>
      </c>
    </row>
    <row r="24" spans="2:4" x14ac:dyDescent="0.25">
      <c r="B24" s="11" t="s">
        <v>18</v>
      </c>
      <c r="D24" s="12" t="s">
        <v>23</v>
      </c>
    </row>
    <row r="25" spans="2:4" x14ac:dyDescent="0.25">
      <c r="D25" s="12" t="s">
        <v>17</v>
      </c>
    </row>
    <row r="26" spans="2:4" x14ac:dyDescent="0.25">
      <c r="D26" s="11" t="s">
        <v>18</v>
      </c>
    </row>
    <row r="27" spans="2:4" x14ac:dyDescent="0.25">
      <c r="B27" s="12" t="s">
        <v>28</v>
      </c>
      <c r="D27" s="12" t="s">
        <v>28</v>
      </c>
    </row>
    <row r="28" spans="2:4" x14ac:dyDescent="0.25">
      <c r="B28" s="15">
        <f>TextSimilarityFast(B20,D20)</f>
        <v>0.85227272727272729</v>
      </c>
      <c r="D28" s="15">
        <f>TextSimilarity(B20,D20,B2:D27)</f>
        <v>0.90457651108820569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ENG</vt:lpstr>
      <vt:lpstr>RUS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Windows</cp:lastModifiedBy>
  <dcterms:created xsi:type="dcterms:W3CDTF">2021-03-22T06:49:56Z</dcterms:created>
  <dcterms:modified xsi:type="dcterms:W3CDTF">2021-03-29T08:14:12Z</dcterms:modified>
</cp:coreProperties>
</file>